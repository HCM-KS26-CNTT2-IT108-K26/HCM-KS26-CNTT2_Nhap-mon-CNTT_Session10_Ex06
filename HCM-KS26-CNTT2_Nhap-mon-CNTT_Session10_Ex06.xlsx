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New XLSX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<sst xmlns="http://schemas.openxmlformats.org/spreadsheetml/2006/main" count="64" uniqueCount="46">
  <si>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DANH SÁCH NHÀ ĐẤT</t>
  </si>
  <si>
    <t>STT</t>
  </si>
  <si>
    <t>MÃ số</t>
  </si>
  <si>
    <t>Tên BĐS</t>
  </si>
  <si>
    <t>Loại BĐS</t>
  </si>
  <si>
    <t>Giá bán (VND)</t>
  </si>
  <si>
    <t>Mã MG</t>
  </si>
  <si>
    <t>Mô giới</t>
  </si>
  <si>
    <t>Tỷ lệ hoa hồng</t>
  </si>
  <si>
    <t>Hoa hồng (VND)</t>
  </si>
  <si>
    <t>SH001</t>
  </si>
  <si>
    <t>Villa Riverside</t>
  </si>
  <si>
    <t>Biệt thự</t>
  </si>
  <si>
    <t>15.000.000.000</t>
  </si>
  <si>
    <t>MG01</t>
  </si>
  <si>
    <t>Nguyễn An</t>
  </si>
  <si>
    <t>300.000.000</t>
  </si>
  <si>
    <t>SH002</t>
  </si>
  <si>
    <t>Sunrise Apartment</t>
  </si>
  <si>
    <t>Căn hộ</t>
  </si>
  <si>
    <t>3.200.000.000</t>
  </si>
  <si>
    <t>MG02</t>
  </si>
  <si>
    <t>Trần Minh</t>
  </si>
  <si>
    <t>48.000.000</t>
  </si>
  <si>
    <t>SH003</t>
  </si>
  <si>
    <t>Green Park House</t>
  </si>
  <si>
    <t>Nhà phố</t>
  </si>
  <si>
    <t>6.800.000.000</t>
  </si>
  <si>
    <t>MG03</t>
  </si>
  <si>
    <t>Lê Hằng</t>
  </si>
  <si>
    <t>122.400.000</t>
  </si>
  <si>
    <t>SH004</t>
  </si>
  <si>
    <t>Skyline Apartment</t>
  </si>
  <si>
    <t>2.650.000.000</t>
  </si>
  <si>
    <t>39.750.000</t>
  </si>
  <si>
    <t>SH005</t>
  </si>
  <si>
    <t>Ocean View Villa</t>
  </si>
  <si>
    <t>18.500.000.000</t>
  </si>
  <si>
    <t>370.000.000</t>
  </si>
  <si>
    <t>SH006</t>
  </si>
  <si>
    <t>Central House</t>
  </si>
  <si>
    <t>5.200.000.000</t>
  </si>
  <si>
    <t>MG04</t>
  </si>
  <si>
    <t>Phạm Nam</t>
  </si>
  <si>
    <t>83.200.000</t>
  </si>
  <si>
    <t>BẢNG TRA CỨU MÔ GIỚI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</si>
</sst>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29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0" fontId="2" fillId="3" borderId="0" xfId="0" applyNumberFormat="1" applyFont="1" applyFill="1" applyAlignment="1">
      <alignment horizontal="center"/>
    </xf>
    <xf numFmtId="10" fontId="2" fillId="0" borderId="0" xfId="0" applyNumberFormat="1" applyFont="1" applyFill="1" applyAlignment="1">
      <alignment horizontal="center"/>
    </xf>
    <xf numFmtId="0" fontId="2" fillId="0" borderId="0" xfId="0" applyFont="1" applyFill="1" applyAlignment="1"/>
    <xf numFmtId="0" fontId="3" fillId="4" borderId="0" xfId="23" applyFont="1" applyFill="1" applyAlignment="1">
      <alignment horizontal="center"/>
    </xf>
    <xf numFmtId="0" fontId="4" fillId="4" borderId="0" xfId="23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9" displayName="Table9" ref="A3:I9" totalsRowShown="0">
  <autoFilter xmlns:etc="http://www.wps.cn/officeDocument/2017/etCustomData" ref="A3:I9" etc:filterBottomFollowUsedRange="0"/>
  <tableColumns count="9">
    <tableColumn id="1" name="STT"/>
    <tableColumn id="2" name="MÃ số"/>
    <tableColumn id="3" name="Tên BĐS"/>
    <tableColumn id="4" name="Loại BĐS"/>
    <tableColumn id="5" name="Giá bán (VND)"/>
    <tableColumn id="6" name="Mã MG"/>
    <tableColumn id="7" name="Mô giới"/>
    <tableColumn id="8" name="Tỷ lệ hoa hồng"/>
    <tableColumn id="9" name="Hoa hồng (VND)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le10" displayName="Table10" ref="A14:C18" totalsRowShown="0">
  <autoFilter xmlns:etc="http://www.wps.cn/officeDocument/2017/etCustomData" ref="A14:C18" etc:filterBottomFollowUsedRange="0"/>
  <tableColumns count="3">
    <tableColumn id="1" name="Mã MG"/>
    <tableColumn id="2" name="Mô giới"/>
    <tableColumn id="3" name="Tỷ lệ hoa hồng" dataDxfId="0">
      <calculatedColumnFormula>VLOOKUP(B15,$G$4:$I$9,2,FALSE)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SheetLayoutView="60" workbookViewId="0">
      <selection activeCell="E22" sqref="E22"/>
    </sheetView>
  </sheetViews>
  <sheetFormatPr defaultColWidth="10" defaultRowHeight="14.4"/>
  <cols>
    <col min="1" max="1" width="17.3333333333333" customWidth="1"/>
    <col min="2" max="2" width="13.3333333333333" customWidth="1"/>
    <col min="3" max="3" width="20.2222222222222" customWidth="1"/>
    <col min="4" max="4" width="12.7777777777778" customWidth="1"/>
    <col min="5" max="5" width="17.8888888888889" customWidth="1"/>
    <col min="6" max="6" width="13.3333333333333" customWidth="1"/>
    <col min="7" max="7" width="19.3333333333333" customWidth="1"/>
    <col min="8" max="8" width="18.4444444444444" customWidth="1"/>
    <col min="9" max="9" width="26.2222222222222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0.02</v>
      </c>
      <c r="I4" s="3" t="s">
        <v>16</v>
      </c>
    </row>
    <row r="5" spans="1:9">
      <c r="A5" s="2">
        <v>2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5">
        <v>0.015</v>
      </c>
      <c r="I5" s="2" t="s">
        <v>23</v>
      </c>
    </row>
    <row r="6" spans="1:9">
      <c r="A6" s="2">
        <v>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5">
        <v>0.018</v>
      </c>
      <c r="I6" s="2" t="s">
        <v>30</v>
      </c>
    </row>
    <row r="7" spans="1:9">
      <c r="A7" s="2">
        <v>4</v>
      </c>
      <c r="B7" s="2" t="s">
        <v>31</v>
      </c>
      <c r="C7" s="2" t="s">
        <v>32</v>
      </c>
      <c r="D7" s="2" t="s">
        <v>19</v>
      </c>
      <c r="E7" s="2" t="s">
        <v>33</v>
      </c>
      <c r="F7" s="2" t="s">
        <v>21</v>
      </c>
      <c r="G7" s="2" t="s">
        <v>22</v>
      </c>
      <c r="H7" s="5">
        <v>0.015</v>
      </c>
      <c r="I7" s="2" t="s">
        <v>34</v>
      </c>
    </row>
    <row r="8" spans="1:9">
      <c r="A8" s="2">
        <v>5</v>
      </c>
      <c r="B8" s="2" t="s">
        <v>35</v>
      </c>
      <c r="C8" s="2" t="s">
        <v>36</v>
      </c>
      <c r="D8" s="2" t="s">
        <v>12</v>
      </c>
      <c r="E8" s="2" t="s">
        <v>37</v>
      </c>
      <c r="F8" s="2" t="s">
        <v>14</v>
      </c>
      <c r="G8" s="2" t="s">
        <v>15</v>
      </c>
      <c r="H8" s="5">
        <v>0.02</v>
      </c>
      <c r="I8" s="2" t="s">
        <v>38</v>
      </c>
    </row>
    <row r="9" spans="1:9">
      <c r="A9" s="2">
        <v>6</v>
      </c>
      <c r="B9" s="2" t="s">
        <v>39</v>
      </c>
      <c r="C9" s="2" t="s">
        <v>40</v>
      </c>
      <c r="D9" s="2" t="s">
        <v>26</v>
      </c>
      <c r="E9" s="2" t="s">
        <v>41</v>
      </c>
      <c r="F9" s="2" t="s">
        <v>42</v>
      </c>
      <c r="G9" s="2" t="s">
        <v>43</v>
      </c>
      <c r="H9" s="5">
        <v>0.016</v>
      </c>
      <c r="I9" s="2" t="s">
        <v>44</v>
      </c>
    </row>
    <row r="10" spans="1:9">
      <c r="A10" s="6"/>
      <c r="B10" s="6"/>
      <c r="C10" s="6"/>
      <c r="D10" s="6"/>
      <c r="E10" s="6"/>
      <c r="F10" s="6"/>
      <c r="G10" s="6"/>
      <c r="H10" s="6"/>
      <c r="I10" s="6"/>
    </row>
    <row r="11" spans="1:9">
      <c r="A11" s="6"/>
      <c r="B11" s="6"/>
      <c r="C11" s="6"/>
      <c r="D11" s="6"/>
      <c r="E11" s="6"/>
      <c r="F11" s="6"/>
      <c r="G11" s="6"/>
      <c r="H11" s="6"/>
      <c r="I11" s="6"/>
    </row>
    <row r="12" spans="1:9">
      <c r="A12" s="7" t="s">
        <v>45</v>
      </c>
      <c r="B12" s="8"/>
      <c r="C12" s="8"/>
      <c r="D12" s="6"/>
      <c r="E12" s="6"/>
      <c r="F12" s="6"/>
      <c r="G12" s="6"/>
      <c r="H12" s="6"/>
      <c r="I12" s="6"/>
    </row>
    <row r="13" spans="1:9">
      <c r="A13" s="8"/>
      <c r="B13" s="8"/>
      <c r="C13" s="8"/>
      <c r="D13" s="6"/>
      <c r="E13" s="6"/>
      <c r="F13" s="6"/>
      <c r="G13" s="6"/>
      <c r="H13" s="6"/>
      <c r="I13" s="6"/>
    </row>
    <row r="14" spans="1:9">
      <c r="A14" s="2" t="s">
        <v>6</v>
      </c>
      <c r="B14" s="2" t="s">
        <v>7</v>
      </c>
      <c r="C14" s="2" t="s">
        <v>8</v>
      </c>
      <c r="D14" s="6"/>
      <c r="E14" s="6"/>
      <c r="F14" s="6"/>
      <c r="G14" s="6"/>
      <c r="H14" s="6"/>
      <c r="I14" s="6"/>
    </row>
    <row r="15" spans="1:9">
      <c r="A15" s="2" t="s">
        <v>14</v>
      </c>
      <c r="B15" s="2" t="s">
        <v>15</v>
      </c>
      <c r="C15" s="9">
        <f>VLOOKUP(B15,$G$4:$I$9,2,FALSE)</f>
        <v>0.02</v>
      </c>
      <c r="D15" s="6"/>
      <c r="E15" s="6"/>
      <c r="F15" s="6"/>
      <c r="G15" s="6"/>
      <c r="H15" s="6"/>
      <c r="I15" s="6"/>
    </row>
    <row r="16" spans="1:9">
      <c r="A16" s="2" t="s">
        <v>21</v>
      </c>
      <c r="B16" s="2" t="s">
        <v>22</v>
      </c>
      <c r="C16" s="9">
        <f>VLOOKUP(B16,$G$4:$I$9,2,FALSE)</f>
        <v>0.015</v>
      </c>
      <c r="D16" s="6"/>
      <c r="E16" s="6"/>
      <c r="F16" s="6"/>
      <c r="G16" s="6"/>
      <c r="H16" s="6"/>
      <c r="I16" s="6"/>
    </row>
    <row r="17" spans="1:9">
      <c r="A17" s="2" t="s">
        <v>28</v>
      </c>
      <c r="B17" s="2" t="s">
        <v>29</v>
      </c>
      <c r="C17" s="9">
        <f>VLOOKUP(B17,$G$4:$I$9,2,FALSE)</f>
        <v>0.018</v>
      </c>
      <c r="D17" s="6"/>
      <c r="E17" s="6"/>
      <c r="F17" s="6"/>
      <c r="G17" s="6"/>
      <c r="H17" s="6"/>
      <c r="I17" s="6"/>
    </row>
    <row r="18" spans="1:9">
      <c r="A18" s="2" t="s">
        <v>42</v>
      </c>
      <c r="B18" s="2" t="s">
        <v>43</v>
      </c>
      <c r="C18" s="9">
        <f>VLOOKUP(B18,$G$4:$I$9,2,FALSE)</f>
        <v>0.016</v>
      </c>
      <c r="D18" s="6"/>
      <c r="E18" s="6"/>
      <c r="F18" s="6"/>
      <c r="G18" s="6"/>
      <c r="H18" s="6"/>
      <c r="I18" s="6"/>
    </row>
  </sheetData>
  <mergeCells count="2">
    <mergeCell ref="A1:I2"/>
    <mergeCell ref="A12:C13"/>
  </mergeCells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Trọng Nhân</cp:lastModifiedBy>
  <dcterms:created xsi:type="dcterms:W3CDTF">2026-10-27T04:35:08Z</dcterms:created>
  <dcterms:modified xsi:type="dcterms:W3CDTF">2026-10-27T04:37:42Z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5C2CA7CD5C604125BC687DD09360356B_13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